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bd8c9183a34e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 Results" sheetId="1" r:id="R553d4672a8674d88"/>
    <x:sheet xmlns:r="http://schemas.openxmlformats.org/officeDocument/2006/relationships" name="Per-Well Normalized" sheetId="2" r:id="Rdbe30f5dba1f46fb"/>
    <x:sheet xmlns:r="http://schemas.openxmlformats.org/officeDocument/2006/relationships" name="Method" sheetId="3" r:id="R2b9543fd7bcc4c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4">
    <x:font>
      <x:sz val="11"/>
      <x:name val="Carlito"/>
    </x:font>
    <x:font>
      <x:b/>
      <x:sz val="10"/>
      <x:color rgb="FFFFFFFF"/>
      <x:name val="Arial"/>
    </x:font>
    <x:font>
      <x:b/>
      <x:sz val="15"/>
      <x:color rgb="FF1F1F1F"/>
      <x:name val="Arial"/>
    </x:font>
    <x:font>
      <x:b/>
      <x:sz val="11"/>
      <x:color rgb="FF1F1F1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D9E2F3"/>
      </x:patternFill>
    </x:fill>
    <x:fill>
      <x:patternFill patternType="solid">
        <x:fgColor rgb="FFF7F9FB"/>
      </x:patternFill>
    </x:fill>
  </x:fills>
  <x:borders count="16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E7E6E6"/>
      </x:bottom>
    </x:border>
    <x:border>
      <x:left style="thin">
        <x:color rgb="FFFFFFFF"/>
      </x:left>
      <x:top style="thin">
        <x:color rgb="FFE7E6E6"/>
      </x:top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right style="thin">
        <x:color rgb="FFFFFFFF"/>
      </x:right>
      <x:top style="thin">
        <x:color rgb="FFE7E6E6"/>
      </x:top>
      <x:bottom style="thin">
        <x:color rgb="FFE7E6E6"/>
      </x:bottom>
    </x:border>
    <x:border>
      <x:left style="thin">
        <x:color rgb="FFFFFFFF"/>
      </x:left>
      <x:top style="thin">
        <x:color rgb="FFE7E6E6"/>
      </x:top>
      <x:bottom style="thin">
        <x:color rgb="FFFFFFFF"/>
      </x:bottom>
    </x:border>
    <x:border>
      <x:top style="thin">
        <x:color rgb="FFE7E6E6"/>
      </x:top>
      <x:bottom style="thin">
        <x:color rgb="FFFFFFFF"/>
      </x:bottom>
    </x:border>
    <x:border>
      <x:right style="thin">
        <x:color rgb="FFFFFFFF"/>
      </x:right>
      <x:top style="thin">
        <x:color rgb="FFE7E6E6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D9E2F3"/>
      </x:bottom>
    </x:border>
    <x:border>
      <x:left style="thin">
        <x:color rgb="FFFFFFFF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FFFFFF"/>
      </x:right>
      <x:top style="thin">
        <x:color rgb="FFD9E2F3"/>
      </x:top>
      <x:bottom style="thin">
        <x:color rgb="FFD9E2F3"/>
      </x:bottom>
    </x:border>
    <x:border>
      <x:left style="thin">
        <x:color rgb="FFFFFFFF"/>
      </x:left>
      <x:top style="thin">
        <x:color rgb="FFD9E2F3"/>
      </x:top>
      <x:bottom style="thin">
        <x:color rgb="FF9EADBA"/>
      </x:bottom>
    </x:border>
    <x:border>
      <x:top style="thin">
        <x:color rgb="FFD9E2F3"/>
      </x:top>
      <x:bottom style="thin">
        <x:color rgb="FF9EADBA"/>
      </x:bottom>
    </x:border>
    <x:border>
      <x:right style="thin">
        <x:color rgb="FFFFFFFF"/>
      </x:right>
      <x:top style="thin">
        <x:color rgb="FFD9E2F3"/>
      </x:top>
      <x:bottom style="thin">
        <x:color rgb="FF9EADBA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201" fontId="0" fillId="0" borderId="8" xfId="0" applyNumberFormat="1" applyFont="1" applyFill="1" applyBorder="1"/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201" fontId="0" fillId="0" borderId="7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1" fillId="2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1" fontId="0" fillId="0" borderId="11" xfId="0" applyNumberFormat="1" applyFont="1" applyFill="1" applyBorder="1"/>
    <x:xf numFmtId="20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1" fontId="0" fillId="0" borderId="14" xfId="0" applyNumberFormat="1" applyFont="1" applyFill="1" applyBorder="1"/>
    <x:xf numFmtId="200" fontId="0" fillId="0" borderId="15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201" fontId="0" fillId="3" borderId="11" xfId="0" applyNumberFormat="1" applyFont="1" applyFill="1" applyBorder="1"/>
    <x:xf numFmtId="200" fontId="0" fillId="3" borderId="12" xfId="0" applyNumberFormat="1" applyFont="1" applyFill="1" applyBorder="1"/>
    <x:xf numFmtId="0" fontId="0" fillId="3" borderId="13" xfId="0" applyNumberFormat="1" applyFont="1" applyFill="1" applyBorder="1"/>
    <x:xf numFmtId="0" fontId="0" fillId="3" borderId="14" xfId="0" applyNumberFormat="1" applyFont="1" applyFill="1" applyBorder="1"/>
    <x:xf numFmtId="201" fontId="0" fillId="3" borderId="14" xfId="0" applyNumberFormat="1" applyFont="1" applyFill="1" applyBorder="1"/>
    <x:xf numFmtId="200" fontId="0" fillId="3" borderId="15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3" borderId="10" xfId="0" applyNumberFormat="1" applyFont="1" applyFill="1" applyBorder="1" applyAlignment="1">
      <x:alignment vertical="center"/>
    </x:xf>
    <x:xf numFmtId="0" fontId="0" fillId="3" borderId="11" xfId="0" applyNumberFormat="1" applyFont="1" applyFill="1" applyBorder="1" applyAlignment="1">
      <x:alignment vertical="center"/>
    </x:xf>
    <x:xf numFmtId="201" fontId="0" fillId="3" borderId="11" xfId="0" applyNumberFormat="1" applyFont="1" applyFill="1" applyBorder="1" applyAlignment="1">
      <x:alignment vertical="center"/>
    </x:xf>
    <x:xf numFmtId="200" fontId="0" fillId="3" borderId="12" xfId="0" applyNumberFormat="1" applyFont="1" applyFill="1" applyBorder="1" applyAlignment="1">
      <x:alignment vertical="center"/>
    </x:xf>
    <x:xf numFmtId="0" fontId="0" fillId="3" borderId="13" xfId="0" applyNumberFormat="1" applyFont="1" applyFill="1" applyBorder="1" applyAlignment="1">
      <x:alignment vertical="center"/>
    </x:xf>
    <x:xf numFmtId="0" fontId="0" fillId="3" borderId="14" xfId="0" applyNumberFormat="1" applyFont="1" applyFill="1" applyBorder="1" applyAlignment="1">
      <x:alignment vertical="center"/>
    </x:xf>
    <x:xf numFmtId="201" fontId="0" fillId="3" borderId="14" xfId="0" applyNumberFormat="1" applyFont="1" applyFill="1" applyBorder="1" applyAlignment="1">
      <x:alignment vertical="center"/>
    </x:xf>
    <x:xf numFmtId="200" fontId="0" fillId="3" borderId="15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6d5c09c7ed4d3c" /><Relationship Type="http://schemas.openxmlformats.org/officeDocument/2006/relationships/theme" Target="/xl/theme/theme1.xml" Id="R534b9345afcf486a" /><Relationship Type="http://schemas.openxmlformats.org/officeDocument/2006/relationships/sharedStrings" Target="/xl/sharedStrings.xml" Id="R4ed11a0266364878" /><Relationship Type="http://schemas.openxmlformats.org/officeDocument/2006/relationships/worksheet" Target="/xl/worksheets/sheet1.xml" Id="R553d4672a8674d88" /><Relationship Type="http://schemas.openxmlformats.org/officeDocument/2006/relationships/worksheet" Target="/xl/worksheets/sheet2.xml" Id="Rdbe30f5dba1f46fb" /><Relationship Type="http://schemas.openxmlformats.org/officeDocument/2006/relationships/worksheet" Target="/xl/worksheets/sheet3.xml" Id="R2b9543fd7bcc4c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6" hidden="0" customWidth="1"/>
  </x:cols>
  <x:sheetData>
    <x:row r="1" ht="25" customHeight="1">
      <x:c r="A1" s="52" t="str">
        <x:v>Final normalized fluorescence results</x:v>
      </x:c>
      <x:c r="B1" s="52"/>
      <x:c r="C1" s="52"/>
      <x:c r="D1" s="52"/>
      <x:c r="E1" s="52"/>
      <x:c r="F1" s="52"/>
      <x:c r="G1" s="52"/>
      <x:c r="H1" s="52"/>
    </x:row>
    <x:row r="2" ht="30" customHeight="1">
      <x:c r="A2" s="53" t="str">
        <x:v>Measurement</x:v>
      </x:c>
      <x:c r="B2" s="53" t="str">
        <x:v>Background-corrected fluorescence relative to the corresponding no-drug control</x:v>
      </x:c>
      <x:c r="C2" s="53"/>
      <x:c r="D2" s="53"/>
      <x:c r="E2" s="53"/>
      <x:c r="F2" s="53"/>
      <x:c r="G2" s="53"/>
      <x:c r="H2" s="53"/>
    </x:row>
    <x:row r="3" ht="30" customHeight="1">
      <x:c r="A3" s="53" t="str">
        <x:v>Control normalization</x:v>
      </x:c>
      <x:c r="B3" s="53" t="str">
        <x:v>293FT-GFP: mean of B2-G2. HeLa-GFP: mean of B11-G11. Calculated separately for each read.</x:v>
      </x:c>
      <x:c r="C3" s="53"/>
      <x:c r="D3" s="53"/>
      <x:c r="E3" s="53"/>
      <x:c r="F3" s="53"/>
      <x:c r="G3" s="53"/>
      <x:c r="H3" s="53"/>
    </x:row>
    <x:row r="4" ht="30" customHeight="1">
      <x:c r="A4" s="53" t="str">
        <x:v>Reported variability</x:v>
      </x:c>
      <x:c r="B4" s="53" t="str">
        <x:v>SD across four treatment wells after each well was averaged across four sequential reads of the same plate</x:v>
      </x:c>
      <x:c r="C4" s="53"/>
      <x:c r="D4" s="53"/>
      <x:c r="E4" s="53"/>
      <x:c r="F4" s="53"/>
      <x:c r="G4" s="53"/>
      <x:c r="H4" s="53"/>
    </x:row>
    <x:row r="5">
      <x:c r="A5" s="54"/>
      <x:c r="B5" s="54"/>
      <x:c r="C5" s="54"/>
      <x:c r="D5" s="54"/>
      <x:c r="E5" s="54"/>
      <x:c r="F5" s="54"/>
      <x:c r="G5" s="54"/>
      <x:c r="H5" s="54"/>
    </x:row>
    <x:row r="6">
      <x:c r="A6" s="31" t="str">
        <x:v>Cell line</x:v>
      </x:c>
      <x:c r="B6" s="31" t="str">
        <x:v>Drug</x:v>
      </x:c>
      <x:c r="C6" s="31" t="str">
        <x:v>Control used</x:v>
      </x:c>
      <x:c r="D6" s="31" t="str">
        <x:v>5 µM mean (% of control)</x:v>
      </x:c>
      <x:c r="E6" s="31" t="str">
        <x:v>5 µM SD (percentage points)</x:v>
      </x:c>
      <x:c r="F6" s="31" t="str">
        <x:v>10 µM mean (% of control)</x:v>
      </x:c>
      <x:c r="G6" s="31" t="str">
        <x:v>10 µM SD (percentage points)</x:v>
      </x:c>
      <x:c r="H6" s="31" t="str">
        <x:v>n wells per dose</x:v>
      </x:c>
    </x:row>
    <x:row r="7">
      <x:c r="A7" s="55" t="str">
        <x:v>293FT-GFP</x:v>
      </x:c>
      <x:c r="B7" s="56" t="str">
        <x:v>Z64</x:v>
      </x:c>
      <x:c r="C7" s="56" t="str">
        <x:v>Mean of B2-G2</x:v>
      </x:c>
      <x:c r="D7" s="57" t="n">
        <x:f>AVERAGE('Per-Well Normalized'!D2:G2)</x:f>
        <x:v>0.6992495760018131</x:v>
      </x:c>
      <x:c r="E7" s="57" t="n">
        <x:f>STDEV.S('Per-Well Normalized'!D2:G2)</x:f>
        <x:v>0.0984021410106803</x:v>
      </x:c>
      <x:c r="F7" s="57" t="n">
        <x:f>AVERAGE('Per-Well Normalized'!D3:G3)</x:f>
        <x:v>0.8634173057411708</x:v>
      </x:c>
      <x:c r="G7" s="57" t="n">
        <x:f>STDEV.S('Per-Well Normalized'!D3:G3)</x:f>
        <x:v>0.06257556639572348</x:v>
      </x:c>
      <x:c r="H7" s="58" t="n">
        <x:v>4</x:v>
      </x:c>
    </x:row>
    <x:row r="8">
      <x:c r="A8" s="55" t="str">
        <x:v>293FT-GFP</x:v>
      </x:c>
      <x:c r="B8" s="56" t="str">
        <x:v>TM</x:v>
      </x:c>
      <x:c r="C8" s="56" t="str">
        <x:v>Mean of B2-G2</x:v>
      </x:c>
      <x:c r="D8" s="57" t="n">
        <x:f>AVERAGE('Per-Well Normalized'!D4:G4)</x:f>
        <x:v>0.9727055393375585</x:v>
      </x:c>
      <x:c r="E8" s="57" t="n">
        <x:f>STDEV.S('Per-Well Normalized'!D4:G4)</x:f>
        <x:v>0.050685983526987125</x:v>
      </x:c>
      <x:c r="F8" s="57" t="n">
        <x:f>AVERAGE('Per-Well Normalized'!D5:G5)</x:f>
        <x:v>0.9380402374995302</x:v>
      </x:c>
      <x:c r="G8" s="57" t="n">
        <x:f>STDEV.S('Per-Well Normalized'!D5:G5)</x:f>
        <x:v>0.0502757538698324</x:v>
      </x:c>
      <x:c r="H8" s="58" t="n">
        <x:v>4</x:v>
      </x:c>
    </x:row>
    <x:row r="9">
      <x:c r="A9" s="55" t="str">
        <x:v>293FT-GFP</x:v>
      </x:c>
      <x:c r="B9" s="56" t="str">
        <x:v>Negative control</x:v>
      </x:c>
      <x:c r="C9" s="56" t="str">
        <x:v>Mean of B2-G2</x:v>
      </x:c>
      <x:c r="D9" s="57" t="n">
        <x:f>AVERAGE('Per-Well Normalized'!D6:G6)</x:f>
        <x:v>0.9519078764792939</x:v>
      </x:c>
      <x:c r="E9" s="57" t="n">
        <x:f>STDEV.S('Per-Well Normalized'!D6:G6)</x:f>
        <x:v>0.06749160305525086</x:v>
      </x:c>
      <x:c r="F9" s="57" t="n">
        <x:f>AVERAGE('Per-Well Normalized'!D7:G7)</x:f>
        <x:v>1.1640432292225142</x:v>
      </x:c>
      <x:c r="G9" s="57" t="n">
        <x:f>STDEV.S('Per-Well Normalized'!D7:G7)</x:f>
        <x:v>0.11377441365067008</x:v>
      </x:c>
      <x:c r="H9" s="58" t="n">
        <x:v>4</x:v>
      </x:c>
    </x:row>
    <x:row r="10">
      <x:c r="A10" s="55" t="str">
        <x:v>HeLa-GFP</x:v>
      </x:c>
      <x:c r="B10" s="56" t="str">
        <x:v>Z64</x:v>
      </x:c>
      <x:c r="C10" s="56" t="str">
        <x:v>Mean of B11-G11</x:v>
      </x:c>
      <x:c r="D10" s="57" t="n">
        <x:f>AVERAGE('Per-Well Normalized'!D8:G8)</x:f>
        <x:v>0.7570407464634282</x:v>
      </x:c>
      <x:c r="E10" s="57" t="n">
        <x:f>STDEV.S('Per-Well Normalized'!D8:G8)</x:f>
        <x:v>0.06115846111264905</x:v>
      </x:c>
      <x:c r="F10" s="57" t="n">
        <x:f>AVERAGE('Per-Well Normalized'!D9:G9)</x:f>
        <x:v>0.948894436773521</x:v>
      </x:c>
      <x:c r="G10" s="57" t="n">
        <x:f>STDEV.S('Per-Well Normalized'!D9:G9)</x:f>
        <x:v>0.18698049906593167</x:v>
      </x:c>
      <x:c r="H10" s="58" t="n">
        <x:v>4</x:v>
      </x:c>
    </x:row>
    <x:row r="11">
      <x:c r="A11" s="55" t="str">
        <x:v>HeLa-GFP</x:v>
      </x:c>
      <x:c r="B11" s="56" t="str">
        <x:v>TM</x:v>
      </x:c>
      <x:c r="C11" s="56" t="str">
        <x:v>Mean of B11-G11</x:v>
      </x:c>
      <x:c r="D11" s="57" t="n">
        <x:f>AVERAGE('Per-Well Normalized'!D10:G10)</x:f>
        <x:v>1.0361696314696809</x:v>
      </x:c>
      <x:c r="E11" s="57" t="n">
        <x:f>STDEV.S('Per-Well Normalized'!D10:G10)</x:f>
        <x:v>0.2207365734780941</x:v>
      </x:c>
      <x:c r="F11" s="57" t="n">
        <x:f>AVERAGE('Per-Well Normalized'!D11:G11)</x:f>
        <x:v>0.860178508325714</x:v>
      </x:c>
      <x:c r="G11" s="57" t="n">
        <x:f>STDEV.S('Per-Well Normalized'!D11:G11)</x:f>
        <x:v>0.04613908161766063</x:v>
      </x:c>
      <x:c r="H11" s="58" t="n">
        <x:v>4</x:v>
      </x:c>
    </x:row>
    <x:row r="12">
      <x:c r="A12" s="59" t="str">
        <x:v>HeLa-GFP</x:v>
      </x:c>
      <x:c r="B12" s="60" t="str">
        <x:v>Negative control</x:v>
      </x:c>
      <x:c r="C12" s="60" t="str">
        <x:v>Mean of B11-G11</x:v>
      </x:c>
      <x:c r="D12" s="61" t="n">
        <x:f>AVERAGE('Per-Well Normalized'!D12:G12)</x:f>
        <x:v>1.1477303841142426</x:v>
      </x:c>
      <x:c r="E12" s="61" t="n">
        <x:f>STDEV.S('Per-Well Normalized'!D12:G12)</x:f>
        <x:v>0.25655388351580516</x:v>
      </x:c>
      <x:c r="F12" s="61" t="n">
        <x:f>AVERAGE('Per-Well Normalized'!D13:G13)</x:f>
        <x:v>1.1236614135730572</x:v>
      </x:c>
      <x:c r="G12" s="61" t="n">
        <x:f>STDEV.S('Per-Well Normalized'!D13:G13)</x:f>
        <x:v>0.31320651732617827</x:v>
      </x:c>
      <x:c r="H12" s="62" t="n">
        <x:v>4</x:v>
      </x:c>
    </x:row>
    <x:row r="13">
      <x:c r="A13" s="54"/>
      <x:c r="B13" s="54"/>
      <x:c r="C13" s="54"/>
      <x:c r="D13" s="54"/>
      <x:c r="E13" s="54"/>
      <x:c r="F13" s="54"/>
      <x:c r="G13" s="54"/>
      <x:c r="H13" s="54"/>
    </x:row>
    <x:row r="14">
      <x:c r="A14" s="63" t="str">
        <x:v>QC and interpretation notes</x:v>
      </x:c>
      <x:c r="B14" s="63"/>
      <x:c r="C14" s="63"/>
      <x:c r="D14" s="63"/>
      <x:c r="E14" s="63"/>
      <x:c r="F14" s="63"/>
      <x:c r="G14" s="63"/>
      <x:c r="H14" s="63"/>
    </x:row>
    <x:row r="15" ht="30" customHeight="1">
      <x:c r="A15" s="53" t="str">
        <x:v>E12-G12 exclusion</x:v>
      </x:c>
      <x:c r="B15" s="53" t="str">
        <x:v>Bubble-contaminated, cell-free wells; excluded from all background estimates and treatment calculations</x:v>
      </x:c>
      <x:c r="C15" s="53"/>
      <x:c r="D15" s="53"/>
      <x:c r="E15" s="53"/>
      <x:c r="F15" s="53"/>
      <x:c r="G15" s="53"/>
      <x:c r="H15" s="53"/>
    </x:row>
    <x:row r="16" ht="30" customHeight="1">
      <x:c r="A16" s="53" t="str">
        <x:v>Raw reads</x:v>
      </x:c>
      <x:c r="B16" s="53" t="str">
        <x:v>Four sequential reads of the same plate; they are not independent biological replicates</x:v>
      </x:c>
      <x:c r="C16" s="53"/>
      <x:c r="D16" s="53"/>
      <x:c r="E16" s="53"/>
      <x:c r="F16" s="53"/>
      <x:c r="G16" s="53"/>
      <x:c r="H16" s="53"/>
    </x:row>
    <x:row r="17" ht="30" customHeight="1">
      <x:c r="A17" s="53" t="str">
        <x:v>Unit</x:v>
      </x:c>
      <x:c r="B17" s="53" t="str">
        <x:v>Normalized fluorescence is shown as % of no-drug control; SD is displayed in percentage points</x:v>
      </x:c>
      <x:c r="C17" s="53"/>
      <x:c r="D17" s="53"/>
      <x:c r="E17" s="53"/>
      <x:c r="F17" s="53"/>
      <x:c r="G17" s="53"/>
      <x:c r="H17" s="53"/>
    </x:row>
    <x:row r="18" ht="30" customHeight="1">
      <x:c r="A18" s="53" t="str">
        <x:v>Cell-line naming</x:v>
      </x:c>
      <x:c r="B18" s="53" t="str">
        <x:v>293FT-GFP and HeLa-GFP denote the GFP-engineered cell lines</x:v>
      </x:c>
      <x:c r="C18" s="53"/>
      <x:c r="D18" s="53"/>
      <x:c r="E18" s="53"/>
      <x:c r="F18" s="53"/>
      <x:c r="G18" s="53"/>
      <x:c r="H18" s="53"/>
    </x:row>
  </x:sheetData>
  <x:mergeCells>
    <x:mergeCell ref="B2:H2"/>
    <x:mergeCell ref="B3:H3"/>
    <x:mergeCell ref="B4:H4"/>
    <x:mergeCell ref="B15:H15"/>
    <x:mergeCell ref="B16:H16"/>
    <x:mergeCell ref="B17:H17"/>
    <x:mergeCell ref="B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9" t="str">
        <x:v>Cell line</x:v>
      </x:c>
      <x:c r="B1" s="9" t="str">
        <x:v>Drug</x:v>
      </x:c>
      <x:c r="C1" s="9" t="str">
        <x:v>Dose (µM)</x:v>
      </x:c>
      <x:c r="D1" s="9" t="str">
        <x:v>Technical well 1</x:v>
      </x:c>
      <x:c r="E1" s="9" t="str">
        <x:v>Technical well 2</x:v>
      </x:c>
      <x:c r="F1" s="9" t="str">
        <x:v>Technical well 3</x:v>
      </x:c>
      <x:c r="G1" s="9" t="str">
        <x:v>Technical well 4</x:v>
      </x:c>
    </x:row>
    <x:row r="2">
      <x:c r="A2" s="20" t="str">
        <x:v>293FT-GFP</x:v>
      </x:c>
      <x:c r="B2" s="21" t="str">
        <x:v>Z64</x:v>
      </x:c>
      <x:c r="C2" s="22" t="n">
        <x:v>5</x:v>
      </x:c>
      <x:c r="D2" s="23" t="n">
        <x:v>0.5735796617124951</x:v>
      </x:c>
      <x:c r="E2" s="23" t="n">
        <x:v>0.6755491166695368</x:v>
      </x:c>
      <x:c r="F2" s="23" t="n">
        <x:v>0.7461989495156769</x:v>
      </x:c>
      <x:c r="G2" s="24" t="n">
        <x:v>0.8016705761095435</x:v>
      </x:c>
    </x:row>
    <x:row r="3">
      <x:c r="A3" s="20" t="str">
        <x:v>293FT-GFP</x:v>
      </x:c>
      <x:c r="B3" s="21" t="str">
        <x:v>Z64</x:v>
      </x:c>
      <x:c r="C3" s="22" t="n">
        <x:v>10</x:v>
      </x:c>
      <x:c r="D3" s="23" t="n">
        <x:v>0.804060696468866</x:v>
      </x:c>
      <x:c r="E3" s="23" t="n">
        <x:v>0.8577127456978197</x:v>
      </x:c>
      <x:c r="F3" s="23" t="n">
        <x:v>0.8408349264826782</x:v>
      </x:c>
      <x:c r="G3" s="24" t="n">
        <x:v>0.9510608543153194</x:v>
      </x:c>
    </x:row>
    <x:row r="4">
      <x:c r="A4" s="20" t="str">
        <x:v>293FT-GFP</x:v>
      </x:c>
      <x:c r="B4" s="21" t="str">
        <x:v>TM</x:v>
      </x:c>
      <x:c r="C4" s="22" t="n">
        <x:v>5</x:v>
      </x:c>
      <x:c r="D4" s="23" t="n">
        <x:v>0.918527067387663</x:v>
      </x:c>
      <x:c r="E4" s="23" t="n">
        <x:v>0.979751218700846</x:v>
      </x:c>
      <x:c r="F4" s="23" t="n">
        <x:v>1.038766101637928</x:v>
      </x:c>
      <x:c r="G4" s="24" t="n">
        <x:v>0.9537777696237975</x:v>
      </x:c>
    </x:row>
    <x:row r="5">
      <x:c r="A5" s="20" t="str">
        <x:v>293FT-GFP</x:v>
      </x:c>
      <x:c r="B5" s="21" t="str">
        <x:v>TM</x:v>
      </x:c>
      <x:c r="C5" s="22" t="n">
        <x:v>10</x:v>
      </x:c>
      <x:c r="D5" s="23" t="n">
        <x:v>0.8977671678718243</x:v>
      </x:c>
      <x:c r="E5" s="23" t="n">
        <x:v>0.9803433687013494</x:v>
      </x:c>
      <x:c r="F5" s="23" t="n">
        <x:v>0.9826838239704795</x:v>
      </x:c>
      <x:c r="G5" s="24" t="n">
        <x:v>0.8913665894544673</x:v>
      </x:c>
    </x:row>
    <x:row r="6">
      <x:c r="A6" s="20" t="str">
        <x:v>293FT-GFP</x:v>
      </x:c>
      <x:c r="B6" s="21" t="str">
        <x:v>Negative control</x:v>
      </x:c>
      <x:c r="C6" s="22" t="n">
        <x:v>5</x:v>
      </x:c>
      <x:c r="D6" s="23" t="n">
        <x:v>0.8658681106142251</x:v>
      </x:c>
      <x:c r="E6" s="23" t="n">
        <x:v>1.0094262539429741</x:v>
      </x:c>
      <x:c r="F6" s="23" t="n">
        <x:v>1.0018575717486713</x:v>
      </x:c>
      <x:c r="G6" s="24" t="n">
        <x:v>0.9304795696113046</x:v>
      </x:c>
    </x:row>
    <x:row r="7">
      <x:c r="A7" s="20" t="str">
        <x:v>293FT-GFP</x:v>
      </x:c>
      <x:c r="B7" s="21" t="str">
        <x:v>Negative control</x:v>
      </x:c>
      <x:c r="C7" s="22" t="n">
        <x:v>10</x:v>
      </x:c>
      <x:c r="D7" s="23" t="n">
        <x:v>1.0102888411985684</x:v>
      </x:c>
      <x:c r="E7" s="23" t="n">
        <x:v>1.24440600556848</x:v>
      </x:c>
      <x:c r="F7" s="23" t="n">
        <x:v>1.2557031124833342</x:v>
      </x:c>
      <x:c r="G7" s="24" t="n">
        <x:v>1.1457749576396745</x:v>
      </x:c>
    </x:row>
    <x:row r="8">
      <x:c r="A8" s="20" t="str">
        <x:v>HeLa-GFP</x:v>
      </x:c>
      <x:c r="B8" s="21" t="str">
        <x:v>Z64</x:v>
      </x:c>
      <x:c r="C8" s="22" t="n">
        <x:v>5</x:v>
      </x:c>
      <x:c r="D8" s="23" t="n">
        <x:v>0.6704280963087885</x:v>
      </x:c>
      <x:c r="E8" s="23" t="n">
        <x:v>0.7658001125009803</x:v>
      </x:c>
      <x:c r="F8" s="23" t="n">
        <x:v>0.8134606374041038</x:v>
      </x:c>
      <x:c r="G8" s="24" t="n">
        <x:v>0.7784741396398401</x:v>
      </x:c>
    </x:row>
    <x:row r="9">
      <x:c r="A9" s="20" t="str">
        <x:v>HeLa-GFP</x:v>
      </x:c>
      <x:c r="B9" s="21" t="str">
        <x:v>Z64</x:v>
      </x:c>
      <x:c r="C9" s="22" t="n">
        <x:v>10</x:v>
      </x:c>
      <x:c r="D9" s="23" t="n">
        <x:v>0.728786260980068</x:v>
      </x:c>
      <x:c r="E9" s="23" t="n">
        <x:v>1.158116140517903</x:v>
      </x:c>
      <x:c r="F9" s="23" t="n">
        <x:v>0.8749508568675336</x:v>
      </x:c>
      <x:c r="G9" s="24" t="n">
        <x:v>1.0337244887285795</x:v>
      </x:c>
    </x:row>
    <x:row r="10">
      <x:c r="A10" s="20" t="str">
        <x:v>HeLa-GFP</x:v>
      </x:c>
      <x:c r="B10" s="21" t="str">
        <x:v>TM</x:v>
      </x:c>
      <x:c r="C10" s="22" t="n">
        <x:v>5</x:v>
      </x:c>
      <x:c r="D10" s="23" t="n">
        <x:v>0.8220744402215431</x:v>
      </x:c>
      <x:c r="E10" s="23" t="n">
        <x:v>1.225059144485772</x:v>
      </x:c>
      <x:c r="F10" s="23" t="n">
        <x:v>1.2281327817779362</x:v>
      </x:c>
      <x:c r="G10" s="24" t="n">
        <x:v>0.869412159393472</x:v>
      </x:c>
    </x:row>
    <x:row r="11">
      <x:c r="A11" s="20" t="str">
        <x:v>HeLa-GFP</x:v>
      </x:c>
      <x:c r="B11" s="21" t="str">
        <x:v>TM</x:v>
      </x:c>
      <x:c r="C11" s="22" t="n">
        <x:v>10</x:v>
      </x:c>
      <x:c r="D11" s="23" t="n">
        <x:v>0.9143919787237398</x:v>
      </x:c>
      <x:c r="E11" s="23" t="n">
        <x:v>0.8612383443066987</x:v>
      </x:c>
      <x:c r="F11" s="23" t="n">
        <x:v>0.8635148412178351</x:v>
      </x:c>
      <x:c r="G11" s="24" t="n">
        <x:v>0.8015688690545822</x:v>
      </x:c>
    </x:row>
    <x:row r="12">
      <x:c r="A12" s="20" t="str">
        <x:v>HeLa-GFP</x:v>
      </x:c>
      <x:c r="B12" s="21" t="str">
        <x:v>Negative control</x:v>
      </x:c>
      <x:c r="C12" s="22" t="n">
        <x:v>5</x:v>
      </x:c>
      <x:c r="D12" s="23" t="n">
        <x:v>1.5284256763848934</x:v>
      </x:c>
      <x:c r="E12" s="23" t="n">
        <x:v>1.0428132527485827</x:v>
      </x:c>
      <x:c r="F12" s="23" t="n">
        <x:v>1.0516526562709314</x:v>
      </x:c>
      <x:c r="G12" s="24" t="n">
        <x:v>0.9680299510525627</x:v>
      </x:c>
    </x:row>
    <x:row r="13">
      <x:c r="A13" s="25" t="str">
        <x:v>HeLa-GFP</x:v>
      </x:c>
      <x:c r="B13" s="26" t="str">
        <x:v>Negative control</x:v>
      </x:c>
      <x:c r="C13" s="27" t="n">
        <x:v>10</x:v>
      </x:c>
      <x:c r="D13" s="28" t="n">
        <x:v>0.9404256237215591</x:v>
      </x:c>
      <x:c r="E13" s="28" t="n">
        <x:v>1.5779825372350127</x:v>
      </x:c>
      <x:c r="F13" s="28" t="n">
        <x:v>1.0818425437933532</x:v>
      </x:c>
      <x:c r="G13" s="29" t="n">
        <x:v>0.8943949495423036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42" hidden="0" customWidth="1"/>
  </x:cols>
  <x:sheetData>
    <x:row r="1" ht="25" customHeight="1">
      <x:c r="A1" s="52" t="str">
        <x:v>Normalization method</x:v>
      </x:c>
      <x:c r="B1" s="52"/>
      <x:c r="C1" s="52"/>
    </x:row>
    <x:row r="2">
      <x:c r="A2" s="54"/>
      <x:c r="B2" s="54"/>
      <x:c r="C2" s="54"/>
    </x:row>
    <x:row r="3">
      <x:c r="A3" s="9" t="str">
        <x:v>Step</x:v>
      </x:c>
      <x:c r="B3" s="9" t="str">
        <x:v>293FT-GFP</x:v>
      </x:c>
      <x:c r="C3" s="9" t="str">
        <x:v>HeLa-GFP</x:v>
      </x:c>
    </x:row>
    <x:row r="4">
      <x:c r="A4" s="71" t="str">
        <x:v>Local background wells</x:v>
      </x:c>
      <x:c r="B4" s="72" t="str">
        <x:v>A2-A6, H2-H6, B1-G1</x:v>
      </x:c>
      <x:c r="C4" s="73" t="str">
        <x:v>A7-A11, H7-H11, B12-D12</x:v>
      </x:c>
    </x:row>
    <x:row r="5">
      <x:c r="A5" s="71" t="str">
        <x:v>Background statistic</x:v>
      </x:c>
      <x:c r="B5" s="72" t="str">
        <x:v>Median RFU within each read</x:v>
      </x:c>
      <x:c r="C5" s="73" t="str">
        <x:v>Median RFU within each read</x:v>
      </x:c>
    </x:row>
    <x:row r="6">
      <x:c r="A6" s="71" t="str">
        <x:v>No-drug controls</x:v>
      </x:c>
      <x:c r="B6" s="72" t="str">
        <x:v>B2-G2</x:v>
      </x:c>
      <x:c r="C6" s="73" t="str">
        <x:v>B11-G11</x:v>
      </x:c>
    </x:row>
    <x:row r="7">
      <x:c r="A7" s="71" t="str">
        <x:v>Control statistic</x:v>
      </x:c>
      <x:c r="B7" s="72" t="str">
        <x:v>Mean background-corrected RFU within each read</x:v>
      </x:c>
      <x:c r="C7" s="73" t="str">
        <x:v>Mean background-corrected RFU within each read</x:v>
      </x:c>
    </x:row>
    <x:row r="8">
      <x:c r="A8" s="71" t="str">
        <x:v>Well normalization</x:v>
      </x:c>
      <x:c r="B8" s="72" t="str">
        <x:v>(well RFU - local background) / mean corrected control</x:v>
      </x:c>
      <x:c r="C8" s="73" t="str">
        <x:v>(well RFU - local background) / mean corrected control</x:v>
      </x:c>
    </x:row>
    <x:row r="9">
      <x:c r="A9" s="71" t="str">
        <x:v>Across-read step</x:v>
      </x:c>
      <x:c r="B9" s="72" t="str">
        <x:v>Average each physical well across IMG_1123, IMG_1124, IMG_1126, and IMG_1128</x:v>
      </x:c>
      <x:c r="C9" s="73" t="str">
        <x:v>Average each physical well across IMG_1123, IMG_1124, IMG_1126, and IMG_1128</x:v>
      </x:c>
    </x:row>
    <x:row r="10">
      <x:c r="A10" s="74" t="str">
        <x:v>Final summary</x:v>
      </x:c>
      <x:c r="B10" s="75" t="str">
        <x:v>Mean and sample SD across four treatment wells</x:v>
      </x:c>
      <x:c r="C10" s="76" t="str">
        <x:v>Mean and sample SD across four treatment wells</x:v>
      </x:c>
    </x:row>
    <x:row r="11">
      <x:c r="A11" s="54"/>
      <x:c r="B11" s="54"/>
      <x:c r="C11" s="54"/>
    </x:row>
    <x:row r="12">
      <x:c r="A12" s="6" t="str">
        <x:v>Exclusion</x:v>
      </x:c>
      <x:c r="B12" s="6" t="str">
        <x:v>Affected wells</x:v>
      </x:c>
      <x:c r="C12" s="6" t="str">
        <x:v>Reason</x:v>
      </x:c>
    </x:row>
    <x:row r="13">
      <x:c r="A13" s="53" t="str">
        <x:v>Always excluded</x:v>
      </x:c>
      <x:c r="B13" s="53" t="str">
        <x:v>E12-G12</x:v>
      </x:c>
      <x:c r="C13" s="53" t="str">
        <x:v>Cell-free wells contaminated by bubbles</x:v>
      </x:c>
    </x:row>
    <x:row r="14">
      <x:c r="A14" s="53" t="str">
        <x:v>Not measured</x:v>
      </x:c>
      <x:c r="B14" s="53" t="str">
        <x:v>E12-G12 in IMG_1124 and IMG_1126</x:v>
      </x:c>
      <x:c r="C14" s="53" t="str">
        <x:v>The instrument scan omitted these wells</x:v>
      </x:c>
    </x:row>
  </x:sheetData>
  <x:pageMargins left="0.7" right="0.7" top="0.75" bottom="0.75" header="0.3" footer="0.3"/>
</x:worksheet>
</file>